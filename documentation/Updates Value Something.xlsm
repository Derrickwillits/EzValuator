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ce\Desktop\Value Something\"/>
    </mc:Choice>
  </mc:AlternateContent>
  <bookViews>
    <workbookView xWindow="0" yWindow="0" windowWidth="28800" windowHeight="12795" tabRatio="558"/>
  </bookViews>
  <sheets>
    <sheet name="Estimated Revenue" sheetId="5" r:id="rId1"/>
    <sheet name="Sheet1" sheetId="6" r:id="rId2"/>
  </sheets>
  <functionGroups builtInGroupCount="18"/>
  <calcPr calcId="162913"/>
</workbook>
</file>

<file path=xl/calcChain.xml><?xml version="1.0" encoding="utf-8"?>
<calcChain xmlns="http://schemas.openxmlformats.org/spreadsheetml/2006/main">
  <c r="B16" i="5" l="1"/>
  <c r="C11" i="5"/>
  <c r="C12" i="5"/>
  <c r="C10" i="5"/>
  <c r="E8" i="5"/>
  <c r="E7" i="5"/>
  <c r="E6" i="5"/>
  <c r="O5" i="5"/>
  <c r="W5" i="5"/>
  <c r="H5" i="5"/>
  <c r="S5" i="5"/>
  <c r="X5" i="5"/>
  <c r="Y5" i="5"/>
  <c r="R5" i="5"/>
  <c r="Q5" i="5"/>
  <c r="M5" i="5"/>
  <c r="K5" i="5"/>
  <c r="U5" i="5"/>
  <c r="I5" i="5"/>
  <c r="J5" i="5"/>
  <c r="T5" i="5"/>
  <c r="V5" i="5"/>
  <c r="F5" i="5"/>
  <c r="G5" i="5"/>
  <c r="L5" i="5"/>
  <c r="N5" i="5"/>
  <c r="P5" i="5"/>
  <c r="B7" i="5" l="1"/>
  <c r="N6" i="5"/>
  <c r="N8" i="5"/>
  <c r="N7" i="5"/>
  <c r="F7" i="5"/>
  <c r="F8" i="5"/>
  <c r="F6" i="5"/>
  <c r="U6" i="5"/>
  <c r="U8" i="5"/>
  <c r="U7" i="5"/>
  <c r="J8" i="5"/>
  <c r="J6" i="5"/>
  <c r="J7" i="5"/>
  <c r="P7" i="5"/>
  <c r="P6" i="5"/>
  <c r="P8" i="5"/>
  <c r="O8" i="5"/>
  <c r="O6" i="5"/>
  <c r="O7" i="5"/>
  <c r="M8" i="5"/>
  <c r="M7" i="5"/>
  <c r="M6" i="5"/>
  <c r="I7" i="5"/>
  <c r="I6" i="5"/>
  <c r="I8" i="5"/>
  <c r="R7" i="5"/>
  <c r="R6" i="5"/>
  <c r="R8" i="5"/>
  <c r="H8" i="5"/>
  <c r="H6" i="5"/>
  <c r="H7" i="5"/>
  <c r="L8" i="5"/>
  <c r="L7" i="5"/>
  <c r="L6" i="5"/>
  <c r="Q6" i="5"/>
  <c r="Q8" i="5"/>
  <c r="Q7" i="5"/>
  <c r="W7" i="5"/>
  <c r="W6" i="5"/>
  <c r="W8" i="5"/>
  <c r="S8" i="5"/>
  <c r="S6" i="5"/>
  <c r="S7" i="5"/>
  <c r="X8" i="5"/>
  <c r="X6" i="5"/>
  <c r="X7" i="5"/>
  <c r="K8" i="5"/>
  <c r="K6" i="5"/>
  <c r="K7" i="5"/>
  <c r="T8" i="5"/>
  <c r="T7" i="5"/>
  <c r="T6" i="5"/>
  <c r="Y7" i="5"/>
  <c r="Y6" i="5"/>
  <c r="Y8" i="5"/>
  <c r="V6" i="5"/>
  <c r="V7" i="5"/>
  <c r="V8" i="5"/>
  <c r="G8" i="5"/>
  <c r="G7" i="5"/>
  <c r="G6" i="5"/>
  <c r="N11" i="5"/>
  <c r="F11" i="5"/>
  <c r="U11" i="5"/>
  <c r="J11" i="5"/>
  <c r="P11" i="5"/>
  <c r="O11" i="5"/>
  <c r="M11" i="5"/>
  <c r="I11" i="5"/>
  <c r="R11" i="5"/>
  <c r="H11" i="5"/>
  <c r="L11" i="5"/>
  <c r="Q11" i="5"/>
  <c r="W11" i="5"/>
  <c r="S11" i="5"/>
  <c r="X11" i="5"/>
  <c r="K11" i="5"/>
  <c r="T11" i="5"/>
  <c r="Y11" i="5"/>
  <c r="V11" i="5"/>
  <c r="G11" i="5"/>
  <c r="A25" i="5"/>
  <c r="B25" i="5" s="1"/>
  <c r="F12" i="5" l="1"/>
  <c r="J12" i="5"/>
  <c r="V12" i="5"/>
  <c r="R12" i="5"/>
  <c r="N12" i="5"/>
</calcChain>
</file>

<file path=xl/sharedStrings.xml><?xml version="1.0" encoding="utf-8"?>
<sst xmlns="http://schemas.openxmlformats.org/spreadsheetml/2006/main" count="39" uniqueCount="23">
  <si>
    <t>Product</t>
  </si>
  <si>
    <t>Q1</t>
  </si>
  <si>
    <t>Q2</t>
  </si>
  <si>
    <t>Q3</t>
  </si>
  <si>
    <t>Q4</t>
  </si>
  <si>
    <t>Percentage Users  / Edition</t>
  </si>
  <si>
    <t>Logistic Growth Factor</t>
  </si>
  <si>
    <t>Logistic Growth Factor Decay</t>
  </si>
  <si>
    <t>Estimated Revenue</t>
  </si>
  <si>
    <t># Users</t>
  </si>
  <si>
    <t>Yearly Revenue</t>
  </si>
  <si>
    <t># Users (Total)</t>
  </si>
  <si>
    <t>Market Share =</t>
  </si>
  <si>
    <t>Customers</t>
  </si>
  <si>
    <t>Prospects</t>
  </si>
  <si>
    <t>Based on wild ass guess</t>
  </si>
  <si>
    <t>Max Users SomethingPay</t>
  </si>
  <si>
    <t>Cost Per Transaction</t>
  </si>
  <si>
    <t>Average Transactions Per Seller Per Quarter</t>
  </si>
  <si>
    <t>Transactions Per day Based on Average</t>
  </si>
  <si>
    <t>Market Share (Sellers)</t>
  </si>
  <si>
    <t>Estimated # of Users</t>
  </si>
  <si>
    <t>After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</si>
</sst>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_(* #,##0_);_(* \(#,##0\);_(* &quot;-&quot;??_);_(@_)"/>
    <numFmt numFmtId="167" formatCode="_(&quot;$&quot;* #,##0_);_(&quot;$&quot;* \(#,##0\);_(&quot;$&quot;* &quot;-&quot;??_);_(@_)"/>
  </numFmts>
  <fonts count="11" x14ac:knownFonts="1">
    <font>
      <sz val="10"/>
      <name val="Arial"/>
    </font>
    <font>
      <sz val="10"/>
      <name val="Arial"/>
    </font>
    <font>
      <b/>
      <sz val="10"/>
      <color indexed="9"/>
      <name val="Arial"/>
      <family val="2"/>
    </font>
    <font>
      <sz val="10"/>
      <name val="Arial"/>
    </font>
    <font>
      <b/>
      <sz val="10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theme="3" tint="0.59999389629810485"/>
      <name val="Arial"/>
      <family val="2"/>
    </font>
    <font>
      <sz val="10"/>
      <color theme="3" tint="0.5999938962981048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ck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22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0" xfId="0" applyFont="1"/>
    <xf numFmtId="0" fontId="4" fillId="3" borderId="3" xfId="0" applyFont="1" applyFill="1" applyBorder="1" applyAlignment="1"/>
    <xf numFmtId="0" fontId="3" fillId="0" borderId="4" xfId="0" applyFont="1" applyBorder="1" applyAlignment="1"/>
    <xf numFmtId="0" fontId="4" fillId="3" borderId="4" xfId="0" applyFont="1" applyFill="1" applyBorder="1" applyAlignment="1"/>
    <xf numFmtId="0" fontId="3" fillId="0" borderId="5" xfId="0" applyFont="1" applyBorder="1" applyAlignment="1"/>
    <xf numFmtId="166" fontId="3" fillId="0" borderId="1" xfId="1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4" fillId="3" borderId="3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6" fillId="3" borderId="2" xfId="0" applyFont="1" applyFill="1" applyBorder="1"/>
    <xf numFmtId="2" fontId="6" fillId="3" borderId="2" xfId="0" applyNumberFormat="1" applyFont="1" applyFill="1" applyBorder="1"/>
    <xf numFmtId="9" fontId="3" fillId="0" borderId="1" xfId="3" applyFont="1" applyBorder="1" applyAlignment="1">
      <alignment horizontal="center" vertical="center"/>
    </xf>
    <xf numFmtId="0" fontId="4" fillId="3" borderId="0" xfId="0" applyFont="1" applyFill="1" applyAlignment="1">
      <alignment horizontal="right"/>
    </xf>
    <xf numFmtId="1" fontId="7" fillId="0" borderId="2" xfId="0" applyNumberFormat="1" applyFont="1" applyBorder="1"/>
    <xf numFmtId="167" fontId="4" fillId="3" borderId="0" xfId="2" applyNumberFormat="1" applyFont="1" applyFill="1" applyAlignment="1">
      <alignment horizontal="right"/>
    </xf>
    <xf numFmtId="165" fontId="8" fillId="0" borderId="2" xfId="0" applyNumberFormat="1" applyFont="1" applyBorder="1"/>
    <xf numFmtId="43" fontId="3" fillId="4" borderId="0" xfId="0" applyNumberFormat="1" applyFont="1" applyFill="1"/>
    <xf numFmtId="0" fontId="2" fillId="2" borderId="1" xfId="0" applyFont="1" applyFill="1" applyBorder="1"/>
    <xf numFmtId="0" fontId="2" fillId="2" borderId="1" xfId="0" applyFont="1" applyFill="1" applyBorder="1" applyAlignment="1">
      <alignment horizontal="right"/>
    </xf>
    <xf numFmtId="0" fontId="3" fillId="0" borderId="6" xfId="0" applyFont="1" applyBorder="1"/>
    <xf numFmtId="0" fontId="3" fillId="0" borderId="0" xfId="0" applyFont="1" applyBorder="1"/>
    <xf numFmtId="0" fontId="3" fillId="0" borderId="7" xfId="0" applyFont="1" applyBorder="1"/>
    <xf numFmtId="6" fontId="3" fillId="0" borderId="1" xfId="0" applyNumberFormat="1" applyFont="1" applyBorder="1"/>
    <xf numFmtId="9" fontId="3" fillId="0" borderId="1" xfId="0" applyNumberFormat="1" applyFont="1" applyBorder="1"/>
    <xf numFmtId="164" fontId="3" fillId="0" borderId="1" xfId="0" applyNumberFormat="1" applyFont="1" applyBorder="1"/>
    <xf numFmtId="8" fontId="3" fillId="0" borderId="0" xfId="0" applyNumberFormat="1" applyFont="1"/>
    <xf numFmtId="165" fontId="3" fillId="0" borderId="3" xfId="0" applyNumberFormat="1" applyFont="1" applyBorder="1"/>
    <xf numFmtId="165" fontId="3" fillId="0" borderId="4" xfId="0" applyNumberFormat="1" applyFont="1" applyBorder="1"/>
    <xf numFmtId="165" fontId="3" fillId="0" borderId="5" xfId="0" applyNumberFormat="1" applyFont="1" applyBorder="1"/>
    <xf numFmtId="6" fontId="7" fillId="0" borderId="1" xfId="0" applyNumberFormat="1" applyFont="1" applyBorder="1"/>
    <xf numFmtId="3" fontId="3" fillId="0" borderId="9" xfId="0" applyNumberFormat="1" applyFont="1" applyBorder="1"/>
    <xf numFmtId="165" fontId="3" fillId="0" borderId="8" xfId="0" applyNumberFormat="1" applyFont="1" applyBorder="1" applyAlignment="1">
      <alignment horizontal="center"/>
    </xf>
    <xf numFmtId="164" fontId="3" fillId="0" borderId="0" xfId="0" applyNumberFormat="1" applyFont="1"/>
    <xf numFmtId="0" fontId="4" fillId="3" borderId="2" xfId="0" applyFont="1" applyFill="1" applyBorder="1" applyAlignment="1">
      <alignment horizontal="right"/>
    </xf>
    <xf numFmtId="166" fontId="3" fillId="0" borderId="2" xfId="1" applyNumberFormat="1" applyFont="1" applyFill="1" applyBorder="1"/>
    <xf numFmtId="10" fontId="3" fillId="0" borderId="2" xfId="0" applyNumberFormat="1" applyFont="1" applyFill="1" applyBorder="1"/>
    <xf numFmtId="0" fontId="7" fillId="0" borderId="0" xfId="0" applyFont="1"/>
    <xf numFmtId="2" fontId="3" fillId="0" borderId="2" xfId="0" applyNumberFormat="1" applyFont="1" applyBorder="1"/>
    <xf numFmtId="0" fontId="9" fillId="0" borderId="0" xfId="0" applyFont="1" applyFill="1" applyBorder="1" applyAlignment="1">
      <alignment horizontal="right"/>
    </xf>
    <xf numFmtId="10" fontId="10" fillId="0" borderId="0" xfId="0" applyNumberFormat="1" applyFont="1" applyAlignment="1">
      <alignment horizontal="left"/>
    </xf>
    <xf numFmtId="0" fontId="3" fillId="0" borderId="0" xfId="0" applyFont="1" applyAlignment="1">
      <alignment horizontal="right"/>
    </xf>
    <xf numFmtId="1" fontId="3" fillId="0" borderId="0" xfId="0" applyNumberFormat="1" applyFont="1" applyAlignment="1">
      <alignment horizontal="right"/>
    </xf>
    <xf numFmtId="165" fontId="3" fillId="0" borderId="0" xfId="0" applyNumberFormat="1" applyFont="1"/>
    <xf numFmtId="165" fontId="7" fillId="0" borderId="0" xfId="0" applyNumberFormat="1" applyFont="1"/>
    <xf numFmtId="0" fontId="7" fillId="0" borderId="0" xfId="0" applyFont="1" applyAlignment="1">
      <alignment horizontal="right"/>
    </xf>
    <xf numFmtId="164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723937"/>
      <color rgb="FFBE6A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en-US" baseline="0">
                <a:solidFill>
                  <a:schemeClr val="bg1">
                    <a:lumMod val="50000"/>
                  </a:schemeClr>
                </a:solidFill>
              </a:rPr>
              <a:t> Growth</a:t>
            </a:r>
            <a:endParaRPr lang="en-US">
              <a:solidFill>
                <a:schemeClr val="bg1">
                  <a:lumMod val="50000"/>
                </a:schemeClr>
              </a:solidFill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# Users (Total)</c:v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</c:spPr>
          </c:marker>
          <c:val>
            <c:numRef>
              <c:f>'Estimated Revenue'!$F$11:$Y$11</c:f>
              <c:numCache>
                <c:formatCode>#,##0</c:formatCode>
                <c:ptCount val="20"/>
                <c:pt idx="0">
                  <c:v>8.6101298559513015</c:v>
                </c:pt>
                <c:pt idx="1">
                  <c:v>16.767506523323906</c:v>
                </c:pt>
                <c:pt idx="2">
                  <c:v>32.648266877634619</c:v>
                </c:pt>
                <c:pt idx="3">
                  <c:v>63.550813154067903</c:v>
                </c:pt>
                <c:pt idx="4">
                  <c:v>123.63115783173872</c:v>
                </c:pt>
                <c:pt idx="5">
                  <c:v>240.23764435797591</c:v>
                </c:pt>
                <c:pt idx="6">
                  <c:v>465.79796725333426</c:v>
                </c:pt>
                <c:pt idx="7">
                  <c:v>899.31049810457796</c:v>
                </c:pt>
                <c:pt idx="8">
                  <c:v>1722.2597833105583</c:v>
                </c:pt>
                <c:pt idx="9">
                  <c:v>3248.4584564332035</c:v>
                </c:pt>
                <c:pt idx="10">
                  <c:v>5960.1461011058773</c:v>
                </c:pt>
                <c:pt idx="11">
                  <c:v>10430.426366302248</c:v>
                </c:pt>
                <c:pt idx="12">
                  <c:v>16962.181561709142</c:v>
                </c:pt>
                <c:pt idx="13">
                  <c:v>25000</c:v>
                </c:pt>
                <c:pt idx="14">
                  <c:v>33037.818438290858</c:v>
                </c:pt>
                <c:pt idx="15">
                  <c:v>39569.573633697757</c:v>
                </c:pt>
                <c:pt idx="16">
                  <c:v>44039.853898894115</c:v>
                </c:pt>
                <c:pt idx="17">
                  <c:v>46751.541543566796</c:v>
                </c:pt>
                <c:pt idx="18">
                  <c:v>48277.740216689446</c:v>
                </c:pt>
                <c:pt idx="19">
                  <c:v>49100.689501895424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3E-4040-8EBF-5E2F43071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5952"/>
        <c:axId val="142527872"/>
      </c:lineChart>
      <c:catAx>
        <c:axId val="14252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2527872"/>
        <c:crosses val="autoZero"/>
        <c:auto val="1"/>
        <c:lblAlgn val="ctr"/>
        <c:lblOffset val="100"/>
        <c:noMultiLvlLbl val="0"/>
      </c:catAx>
      <c:valAx>
        <c:axId val="1425278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25259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r>
              <a:rPr lang="en-US">
                <a:solidFill>
                  <a:schemeClr val="bg1">
                    <a:lumMod val="50000"/>
                  </a:schemeClr>
                </a:solidFill>
              </a:rPr>
              <a:t>Yearly Revenue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Yearly Revenue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'Estimated Revenue'!$F$3:$Y$3</c:f>
              <c:numCache>
                <c:formatCode>General</c:formatCode>
                <c:ptCount val="20"/>
                <c:pt idx="0">
                  <c:v>2020</c:v>
                </c:pt>
                <c:pt idx="4">
                  <c:v>2021</c:v>
                </c:pt>
                <c:pt idx="8">
                  <c:v>2022</c:v>
                </c:pt>
                <c:pt idx="12">
                  <c:v>2023</c:v>
                </c:pt>
                <c:pt idx="16">
                  <c:v>2024</c:v>
                </c:pt>
              </c:numCache>
            </c:numRef>
          </c:cat>
          <c:val>
            <c:numRef>
              <c:f>'Estimated Revenue'!$F$12:$Y$12</c:f>
              <c:numCache>
                <c:formatCode>"$"#,##0</c:formatCode>
                <c:ptCount val="20"/>
                <c:pt idx="0">
                  <c:v>2564.0529491075208</c:v>
                </c:pt>
                <c:pt idx="4">
                  <c:v>36464.130572579459</c:v>
                </c:pt>
                <c:pt idx="8">
                  <c:v>450509.62101383327</c:v>
                </c:pt>
                <c:pt idx="12">
                  <c:v>2416272.3079346856</c:v>
                </c:pt>
                <c:pt idx="16">
                  <c:v>3968501.6126464563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83-44EB-9CFB-04535F4BD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702720"/>
        <c:axId val="146704256"/>
      </c:barChart>
      <c:catAx>
        <c:axId val="14670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704256"/>
        <c:crosses val="autoZero"/>
        <c:auto val="1"/>
        <c:lblAlgn val="ctr"/>
        <c:lblOffset val="100"/>
        <c:noMultiLvlLbl val="0"/>
      </c:catAx>
      <c:valAx>
        <c:axId val="146704256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146702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solidFill>
                  <a:schemeClr val="tx1">
                    <a:lumMod val="65000"/>
                    <a:lumOff val="35000"/>
                  </a:schemeClr>
                </a:solidFill>
              </a:rPr>
              <a:t>Market Share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4EB9-402E-B7D0-0449FC451C43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EB9-402E-B7D0-0449FC451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'Estimated Revenue'!$A$24:$B$24</c:f>
              <c:strCache>
                <c:ptCount val="2"/>
                <c:pt idx="0">
                  <c:v>Customers</c:v>
                </c:pt>
                <c:pt idx="1">
                  <c:v>Prospects</c:v>
                </c:pt>
              </c:strCache>
            </c:strRef>
          </c:cat>
          <c:val>
            <c:numRef>
              <c:f>'Estimated Revenue'!$A$25:$B$25</c:f>
              <c:numCache>
                <c:formatCode>0</c:formatCode>
                <c:ptCount val="2"/>
                <c:pt idx="0">
                  <c:v>50000</c:v>
                </c:pt>
                <c:pt idx="1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B9-402E-B7D0-0449FC451C43}"/>
            </c:ext>
          </c:extLst>
        </c:ser>
        <c:ser>
          <c:idx val="1"/>
          <c:order val="1"/>
          <c:tx>
            <c:v>Market Share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4EB9-402E-B7D0-0449FC451C4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434976</xdr:colOff>
      <xdr:row>13</xdr:row>
      <xdr:rowOff>161925</xdr:rowOff>
    </xdr:from>
    <xdr:to>
      <xdr:col>27</xdr:col>
      <xdr:colOff>145256</xdr:colOff>
      <xdr:row>32</xdr:row>
      <xdr:rowOff>65615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414618</xdr:colOff>
      <xdr:row>33</xdr:row>
      <xdr:rowOff>45945</xdr:rowOff>
    </xdr:from>
    <xdr:to>
      <xdr:col>27</xdr:col>
      <xdr:colOff>145677</xdr:colOff>
      <xdr:row>48</xdr:row>
      <xdr:rowOff>122145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99731</xdr:colOff>
      <xdr:row>21</xdr:row>
      <xdr:rowOff>79001</xdr:rowOff>
    </xdr:from>
    <xdr:to>
      <xdr:col>2</xdr:col>
      <xdr:colOff>189380</xdr:colOff>
      <xdr:row>38</xdr:row>
      <xdr:rowOff>155201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Y34"/>
  <sheetViews>
    <sheetView showGridLines="0" tabSelected="1" zoomScale="70" zoomScaleNormal="70" workbookViewId="0">
      <selection activeCell="V6" sqref="V6:Y6"/>
    </sheetView>
  </sheetViews>
  <sheetFormatPr defaultRowHeight="12.75" x14ac:dyDescent="0.2"/>
  <cols>
    <col min="1" max="1" width="47.28515625" style="2" customWidth="1"/>
    <col min="2" max="2" width="43.28515625" style="2" customWidth="1"/>
    <col min="3" max="3" width="41" style="2" bestFit="1" customWidth="1"/>
    <col min="4" max="4" width="8.28515625" style="2" customWidth="1"/>
    <col min="5" max="5" width="15.140625" style="2" bestFit="1" customWidth="1"/>
    <col min="6" max="6" width="12.7109375" style="2" customWidth="1"/>
    <col min="7" max="25" width="10.7109375" style="2" customWidth="1"/>
    <col min="26" max="16384" width="9.140625" style="2"/>
  </cols>
  <sheetData>
    <row r="2" spans="1:25" x14ac:dyDescent="0.2">
      <c r="A2" s="1" t="s">
        <v>21</v>
      </c>
      <c r="F2" s="3" t="s">
        <v>8</v>
      </c>
      <c r="G2" s="4"/>
      <c r="H2" s="4"/>
      <c r="I2" s="4"/>
      <c r="J2" s="5"/>
      <c r="K2" s="4"/>
      <c r="L2" s="4"/>
      <c r="M2" s="4"/>
      <c r="N2" s="5"/>
      <c r="O2" s="4"/>
      <c r="P2" s="4"/>
      <c r="Q2" s="4"/>
      <c r="R2" s="5"/>
      <c r="S2" s="4"/>
      <c r="T2" s="4"/>
      <c r="U2" s="4"/>
      <c r="V2" s="5"/>
      <c r="W2" s="4"/>
      <c r="X2" s="4"/>
      <c r="Y2" s="6"/>
    </row>
    <row r="3" spans="1:25" x14ac:dyDescent="0.2">
      <c r="A3" s="7">
        <v>800000</v>
      </c>
      <c r="B3" s="8" t="s">
        <v>15</v>
      </c>
      <c r="C3" s="9"/>
      <c r="F3" s="10">
        <v>2020</v>
      </c>
      <c r="G3" s="11"/>
      <c r="H3" s="11"/>
      <c r="I3" s="12"/>
      <c r="J3" s="10">
        <v>2021</v>
      </c>
      <c r="K3" s="11"/>
      <c r="L3" s="11"/>
      <c r="M3" s="12"/>
      <c r="N3" s="10">
        <v>2022</v>
      </c>
      <c r="O3" s="11"/>
      <c r="P3" s="11"/>
      <c r="Q3" s="12"/>
      <c r="R3" s="10">
        <v>2023</v>
      </c>
      <c r="S3" s="11"/>
      <c r="T3" s="11"/>
      <c r="U3" s="12"/>
      <c r="V3" s="10">
        <v>2024</v>
      </c>
      <c r="W3" s="11"/>
      <c r="X3" s="11"/>
      <c r="Y3" s="12"/>
    </row>
    <row r="4" spans="1:25" x14ac:dyDescent="0.2">
      <c r="A4" s="1" t="s">
        <v>17</v>
      </c>
      <c r="B4" s="13"/>
      <c r="F4" s="14" t="s">
        <v>1</v>
      </c>
      <c r="G4" s="15" t="s">
        <v>2</v>
      </c>
      <c r="H4" s="14" t="s">
        <v>3</v>
      </c>
      <c r="I4" s="14" t="s">
        <v>4</v>
      </c>
      <c r="J4" s="14" t="s">
        <v>1</v>
      </c>
      <c r="K4" s="15" t="s">
        <v>2</v>
      </c>
      <c r="L4" s="14" t="s">
        <v>3</v>
      </c>
      <c r="M4" s="14" t="s">
        <v>4</v>
      </c>
      <c r="N4" s="14" t="s">
        <v>1</v>
      </c>
      <c r="O4" s="15" t="s">
        <v>2</v>
      </c>
      <c r="P4" s="14" t="s">
        <v>3</v>
      </c>
      <c r="Q4" s="14" t="s">
        <v>4</v>
      </c>
      <c r="R4" s="14" t="s">
        <v>1</v>
      </c>
      <c r="S4" s="15" t="s">
        <v>2</v>
      </c>
      <c r="T4" s="14" t="s">
        <v>3</v>
      </c>
      <c r="U4" s="14" t="s">
        <v>4</v>
      </c>
      <c r="V4" s="14" t="s">
        <v>1</v>
      </c>
      <c r="W4" s="15" t="s">
        <v>2</v>
      </c>
      <c r="X4" s="14" t="s">
        <v>3</v>
      </c>
      <c r="Y4" s="14" t="s">
        <v>4</v>
      </c>
    </row>
    <row r="5" spans="1:25" x14ac:dyDescent="0.2">
      <c r="A5" s="16">
        <v>0.12</v>
      </c>
      <c r="E5" s="17" t="s">
        <v>9</v>
      </c>
      <c r="F5" s="18">
        <f>estimatedUsers(B17,B15,0,B18)</f>
        <v>8.6101298559513015</v>
      </c>
      <c r="G5" s="18">
        <f>estimatedUsers(B17,B15,1,B18)</f>
        <v>16.767506523323906</v>
      </c>
      <c r="H5" s="18">
        <f>estimatedUsers(B17,B15,2,B18)</f>
        <v>32.648266877634619</v>
      </c>
      <c r="I5" s="18">
        <f>estimatedUsers(B17,B15,3,B18)</f>
        <v>63.550813154067903</v>
      </c>
      <c r="J5" s="18">
        <f>estimatedUsers(B17,B15,4,B18)</f>
        <v>123.63115783173872</v>
      </c>
      <c r="K5" s="18">
        <f>estimatedUsers(B17,B15,5,B18)</f>
        <v>240.23764435797591</v>
      </c>
      <c r="L5" s="18">
        <f>estimatedUsers(B17,B15,6,B18)</f>
        <v>465.79796725333426</v>
      </c>
      <c r="M5" s="18">
        <f>estimatedUsers(B17,B15,7,B18)</f>
        <v>899.31049810457796</v>
      </c>
      <c r="N5" s="18">
        <f>estimatedUsers(B17,B15,8,B18)</f>
        <v>1722.2597833105583</v>
      </c>
      <c r="O5" s="18">
        <f>estimatedUsers(B17,B15,9,B18)</f>
        <v>3248.4584564332035</v>
      </c>
      <c r="P5" s="18">
        <f>estimatedUsers(B17,B15,10,B18)</f>
        <v>5960.1461011058773</v>
      </c>
      <c r="Q5" s="18">
        <f>estimatedUsers(B17,B15,11,B18)</f>
        <v>10430.426366302248</v>
      </c>
      <c r="R5" s="18">
        <f>estimatedUsers(B17,B15,12,B18)</f>
        <v>16962.181561709142</v>
      </c>
      <c r="S5" s="18">
        <f>estimatedUsers(B17,B15,13,B18)</f>
        <v>25000</v>
      </c>
      <c r="T5" s="18">
        <f>estimatedUsers(B17,B15,14,B18)</f>
        <v>33037.818438290858</v>
      </c>
      <c r="U5" s="18">
        <f>estimatedUsers(B17,B15,15,B18)</f>
        <v>39569.573633697757</v>
      </c>
      <c r="V5" s="18">
        <f>estimatedUsers(B17,B15,16,B18)</f>
        <v>44039.853898894115</v>
      </c>
      <c r="W5" s="18">
        <f>estimatedUsers(B17,B15,17,B18)</f>
        <v>46751.541543566796</v>
      </c>
      <c r="X5" s="18">
        <f>estimatedUsers(B17,B15,18,B18)</f>
        <v>48277.740216689446</v>
      </c>
      <c r="Y5" s="18">
        <f>estimatedUsers(B17,B15,19,B18)</f>
        <v>49100.689501895424</v>
      </c>
    </row>
    <row r="6" spans="1:25" x14ac:dyDescent="0.2">
      <c r="A6" s="1" t="s">
        <v>18</v>
      </c>
      <c r="B6" s="1" t="s">
        <v>19</v>
      </c>
      <c r="E6" s="19">
        <f>A10</f>
        <v>75</v>
      </c>
      <c r="F6" s="20">
        <f>F$5*$B10*$C10*$A$7</f>
        <v>174.35512958301388</v>
      </c>
      <c r="G6" s="20">
        <f t="shared" ref="G6:Y6" si="0">G5*$B$10*$C$10*$A$7</f>
        <v>339.54200709730907</v>
      </c>
      <c r="H6" s="20">
        <f t="shared" si="0"/>
        <v>661.1274042721011</v>
      </c>
      <c r="I6" s="20">
        <f t="shared" si="0"/>
        <v>1286.903966369875</v>
      </c>
      <c r="J6" s="20">
        <f t="shared" si="0"/>
        <v>2503.5309460927092</v>
      </c>
      <c r="K6" s="20">
        <f t="shared" si="0"/>
        <v>4864.8122982490122</v>
      </c>
      <c r="L6" s="20">
        <f t="shared" si="0"/>
        <v>9432.4088368800185</v>
      </c>
      <c r="M6" s="20">
        <f t="shared" si="0"/>
        <v>18211.037586617706</v>
      </c>
      <c r="N6" s="20">
        <f t="shared" si="0"/>
        <v>34875.760612038808</v>
      </c>
      <c r="O6" s="20">
        <f t="shared" si="0"/>
        <v>65781.283742772372</v>
      </c>
      <c r="P6" s="20">
        <f t="shared" si="0"/>
        <v>120692.95854739402</v>
      </c>
      <c r="Q6" s="20">
        <f t="shared" si="0"/>
        <v>211216.13391762052</v>
      </c>
      <c r="R6" s="20">
        <f t="shared" si="0"/>
        <v>343484.17662461015</v>
      </c>
      <c r="S6" s="20">
        <f t="shared" si="0"/>
        <v>506250</v>
      </c>
      <c r="T6" s="20">
        <f t="shared" si="0"/>
        <v>669015.82337538991</v>
      </c>
      <c r="U6" s="20">
        <f t="shared" si="0"/>
        <v>801283.86608237971</v>
      </c>
      <c r="V6" s="20">
        <f t="shared" si="0"/>
        <v>891807.04145260598</v>
      </c>
      <c r="W6" s="20">
        <f t="shared" si="0"/>
        <v>946718.71625722758</v>
      </c>
      <c r="X6" s="20">
        <f t="shared" si="0"/>
        <v>977624.23938796134</v>
      </c>
      <c r="Y6" s="20">
        <f t="shared" si="0"/>
        <v>994288.96241338248</v>
      </c>
    </row>
    <row r="7" spans="1:25" x14ac:dyDescent="0.2">
      <c r="A7" s="7">
        <v>3</v>
      </c>
      <c r="B7" s="21">
        <f>A7/90*F5</f>
        <v>0.28700432853171004</v>
      </c>
      <c r="E7" s="19">
        <f>A11</f>
        <v>100</v>
      </c>
      <c r="F7" s="20">
        <f t="shared" ref="F7:U8" si="1">F$5*$B11*$C11*$A$7</f>
        <v>2.5830389567853902</v>
      </c>
      <c r="G7" s="20">
        <f t="shared" si="1"/>
        <v>5.0302519569971711</v>
      </c>
      <c r="H7" s="20">
        <f t="shared" si="1"/>
        <v>9.7944800632903863</v>
      </c>
      <c r="I7" s="20">
        <f t="shared" si="1"/>
        <v>19.06524394622037</v>
      </c>
      <c r="J7" s="20">
        <f t="shared" si="1"/>
        <v>37.089347349521617</v>
      </c>
      <c r="K7" s="20">
        <f t="shared" si="1"/>
        <v>72.071293307392764</v>
      </c>
      <c r="L7" s="20">
        <f t="shared" si="1"/>
        <v>139.73939017600028</v>
      </c>
      <c r="M7" s="20">
        <f t="shared" si="1"/>
        <v>269.79314943137342</v>
      </c>
      <c r="N7" s="20">
        <f t="shared" si="1"/>
        <v>516.67793499316758</v>
      </c>
      <c r="O7" s="20">
        <f t="shared" si="1"/>
        <v>974.53753692996111</v>
      </c>
      <c r="P7" s="20">
        <f t="shared" si="1"/>
        <v>1788.043830331763</v>
      </c>
      <c r="Q7" s="20">
        <f t="shared" si="1"/>
        <v>3129.1279098906748</v>
      </c>
      <c r="R7" s="20">
        <f t="shared" si="1"/>
        <v>5088.6544685127428</v>
      </c>
      <c r="S7" s="20">
        <f t="shared" si="1"/>
        <v>7500</v>
      </c>
      <c r="T7" s="20">
        <f t="shared" si="1"/>
        <v>9911.345531487259</v>
      </c>
      <c r="U7" s="20">
        <f t="shared" si="1"/>
        <v>11870.872090109326</v>
      </c>
      <c r="V7" s="20">
        <f t="shared" ref="V7:Y8" si="2">V$5*$B11*$C11*$A$7</f>
        <v>13211.956169668236</v>
      </c>
      <c r="W7" s="20">
        <f t="shared" si="2"/>
        <v>14025.46246307004</v>
      </c>
      <c r="X7" s="20">
        <f t="shared" si="2"/>
        <v>14483.322065006836</v>
      </c>
      <c r="Y7" s="20">
        <f t="shared" si="2"/>
        <v>14730.206850568626</v>
      </c>
    </row>
    <row r="8" spans="1:25" x14ac:dyDescent="0.2">
      <c r="E8" s="19">
        <f>A12</f>
        <v>20</v>
      </c>
      <c r="F8" s="20">
        <f t="shared" si="1"/>
        <v>4.6494701222137023</v>
      </c>
      <c r="G8" s="20">
        <f t="shared" si="1"/>
        <v>9.0544535225949083</v>
      </c>
      <c r="H8" s="20">
        <f t="shared" si="1"/>
        <v>17.630064113922693</v>
      </c>
      <c r="I8" s="20">
        <f t="shared" si="1"/>
        <v>34.317439103196669</v>
      </c>
      <c r="J8" s="20">
        <f t="shared" si="1"/>
        <v>66.760825229138902</v>
      </c>
      <c r="K8" s="20">
        <f t="shared" si="1"/>
        <v>129.72832795330697</v>
      </c>
      <c r="L8" s="20">
        <f t="shared" si="1"/>
        <v>251.53090231680048</v>
      </c>
      <c r="M8" s="20">
        <f t="shared" si="1"/>
        <v>485.62766897647214</v>
      </c>
      <c r="N8" s="20">
        <f t="shared" si="1"/>
        <v>930.02028298770142</v>
      </c>
      <c r="O8" s="20">
        <f t="shared" si="1"/>
        <v>1754.16756647393</v>
      </c>
      <c r="P8" s="20">
        <f t="shared" si="1"/>
        <v>3218.4788945971736</v>
      </c>
      <c r="Q8" s="20">
        <f t="shared" si="1"/>
        <v>5632.4302378032135</v>
      </c>
      <c r="R8" s="20">
        <f t="shared" si="1"/>
        <v>9159.5780433229374</v>
      </c>
      <c r="S8" s="20">
        <f t="shared" si="1"/>
        <v>13500</v>
      </c>
      <c r="T8" s="20">
        <f t="shared" si="1"/>
        <v>17840.421956677063</v>
      </c>
      <c r="U8" s="20">
        <f t="shared" si="1"/>
        <v>21367.569762196788</v>
      </c>
      <c r="V8" s="20">
        <f t="shared" si="2"/>
        <v>23781.521105402822</v>
      </c>
      <c r="W8" s="20">
        <f t="shared" si="2"/>
        <v>25245.83243352607</v>
      </c>
      <c r="X8" s="20">
        <f t="shared" si="2"/>
        <v>26069.979717012298</v>
      </c>
      <c r="Y8" s="20">
        <f t="shared" si="2"/>
        <v>26514.372331023529</v>
      </c>
    </row>
    <row r="9" spans="1:25" x14ac:dyDescent="0.2">
      <c r="A9" s="22" t="s">
        <v>0</v>
      </c>
      <c r="B9" s="23" t="s">
        <v>5</v>
      </c>
      <c r="C9" s="23" t="s">
        <v>22</v>
      </c>
      <c r="E9" s="19"/>
      <c r="F9" s="24"/>
      <c r="G9" s="25"/>
      <c r="H9" s="25"/>
      <c r="I9" s="26"/>
      <c r="J9" s="24"/>
      <c r="K9" s="25"/>
      <c r="L9" s="25"/>
      <c r="M9" s="26"/>
      <c r="N9" s="24"/>
      <c r="O9" s="25"/>
      <c r="P9" s="25"/>
      <c r="Q9" s="26"/>
      <c r="R9" s="24"/>
      <c r="S9" s="25"/>
      <c r="T9" s="25"/>
      <c r="U9" s="26"/>
      <c r="V9" s="24"/>
      <c r="W9" s="25"/>
      <c r="X9" s="25"/>
      <c r="Y9" s="26"/>
    </row>
    <row r="10" spans="1:25" x14ac:dyDescent="0.2">
      <c r="A10" s="27">
        <v>75</v>
      </c>
      <c r="B10" s="28">
        <v>0.9</v>
      </c>
      <c r="C10" s="29">
        <f>0.1*A10</f>
        <v>7.5</v>
      </c>
      <c r="D10" s="30"/>
      <c r="E10" s="17"/>
      <c r="F10" s="31"/>
      <c r="G10" s="32"/>
      <c r="H10" s="32"/>
      <c r="I10" s="33"/>
      <c r="J10" s="31"/>
      <c r="K10" s="32"/>
      <c r="L10" s="32"/>
      <c r="M10" s="33"/>
      <c r="N10" s="31"/>
      <c r="O10" s="32"/>
      <c r="P10" s="32"/>
      <c r="Q10" s="33"/>
      <c r="R10" s="31"/>
      <c r="S10" s="32"/>
      <c r="T10" s="32"/>
      <c r="U10" s="33"/>
      <c r="V10" s="31"/>
      <c r="W10" s="32"/>
      <c r="X10" s="32"/>
      <c r="Y10" s="33"/>
    </row>
    <row r="11" spans="1:25" ht="13.5" thickBot="1" x14ac:dyDescent="0.25">
      <c r="A11" s="34">
        <v>100</v>
      </c>
      <c r="B11" s="28">
        <v>0.01</v>
      </c>
      <c r="C11" s="29">
        <f t="shared" ref="C11:C12" si="3">0.1*A11</f>
        <v>10</v>
      </c>
      <c r="D11" s="30"/>
      <c r="E11" s="17" t="s">
        <v>11</v>
      </c>
      <c r="F11" s="35">
        <f>SUM(F5)</f>
        <v>8.6101298559513015</v>
      </c>
      <c r="G11" s="35">
        <f t="shared" ref="G11:Y11" si="4">SUM(G5)</f>
        <v>16.767506523323906</v>
      </c>
      <c r="H11" s="35">
        <f t="shared" si="4"/>
        <v>32.648266877634619</v>
      </c>
      <c r="I11" s="35">
        <f t="shared" si="4"/>
        <v>63.550813154067903</v>
      </c>
      <c r="J11" s="35">
        <f t="shared" si="4"/>
        <v>123.63115783173872</v>
      </c>
      <c r="K11" s="35">
        <f t="shared" si="4"/>
        <v>240.23764435797591</v>
      </c>
      <c r="L11" s="35">
        <f t="shared" si="4"/>
        <v>465.79796725333426</v>
      </c>
      <c r="M11" s="35">
        <f t="shared" si="4"/>
        <v>899.31049810457796</v>
      </c>
      <c r="N11" s="35">
        <f t="shared" si="4"/>
        <v>1722.2597833105583</v>
      </c>
      <c r="O11" s="35">
        <f t="shared" si="4"/>
        <v>3248.4584564332035</v>
      </c>
      <c r="P11" s="35">
        <f t="shared" si="4"/>
        <v>5960.1461011058773</v>
      </c>
      <c r="Q11" s="35">
        <f t="shared" si="4"/>
        <v>10430.426366302248</v>
      </c>
      <c r="R11" s="35">
        <f t="shared" si="4"/>
        <v>16962.181561709142</v>
      </c>
      <c r="S11" s="35">
        <f t="shared" si="4"/>
        <v>25000</v>
      </c>
      <c r="T11" s="35">
        <f t="shared" si="4"/>
        <v>33037.818438290858</v>
      </c>
      <c r="U11" s="35">
        <f t="shared" si="4"/>
        <v>39569.573633697757</v>
      </c>
      <c r="V11" s="35">
        <f t="shared" si="4"/>
        <v>44039.853898894115</v>
      </c>
      <c r="W11" s="35">
        <f t="shared" si="4"/>
        <v>46751.541543566796</v>
      </c>
      <c r="X11" s="35">
        <f t="shared" si="4"/>
        <v>48277.740216689446</v>
      </c>
      <c r="Y11" s="35">
        <f t="shared" si="4"/>
        <v>49100.689501895424</v>
      </c>
    </row>
    <row r="12" spans="1:25" ht="14.25" thickTop="1" thickBot="1" x14ac:dyDescent="0.25">
      <c r="A12" s="27">
        <v>20</v>
      </c>
      <c r="B12" s="28">
        <v>0.09</v>
      </c>
      <c r="C12" s="29">
        <f t="shared" si="3"/>
        <v>2</v>
      </c>
      <c r="D12" s="30"/>
      <c r="E12" s="17" t="s">
        <v>10</v>
      </c>
      <c r="F12" s="36">
        <f>SUM(F6:I8)</f>
        <v>2564.0529491075208</v>
      </c>
      <c r="G12" s="36"/>
      <c r="H12" s="36"/>
      <c r="I12" s="36"/>
      <c r="J12" s="36">
        <f>SUM(J6:M8)</f>
        <v>36464.130572579459</v>
      </c>
      <c r="K12" s="36"/>
      <c r="L12" s="36"/>
      <c r="M12" s="36"/>
      <c r="N12" s="36">
        <f>SUM(N6:Q8)</f>
        <v>450509.62101383327</v>
      </c>
      <c r="O12" s="36"/>
      <c r="P12" s="36"/>
      <c r="Q12" s="36"/>
      <c r="R12" s="36">
        <f>SUM(R6:U8)</f>
        <v>2416272.3079346856</v>
      </c>
      <c r="S12" s="36"/>
      <c r="T12" s="36"/>
      <c r="U12" s="36"/>
      <c r="V12" s="36">
        <f>SUM(V6:Y8)</f>
        <v>3968501.6126464563</v>
      </c>
      <c r="W12" s="36"/>
      <c r="X12" s="36"/>
      <c r="Y12" s="36"/>
    </row>
    <row r="13" spans="1:25" ht="13.5" thickTop="1" x14ac:dyDescent="0.2">
      <c r="C13" s="37"/>
      <c r="D13" s="30"/>
    </row>
    <row r="14" spans="1:25" x14ac:dyDescent="0.2">
      <c r="C14" s="37"/>
    </row>
    <row r="15" spans="1:25" x14ac:dyDescent="0.2">
      <c r="A15" s="38" t="s">
        <v>16</v>
      </c>
      <c r="B15" s="39">
        <v>50000</v>
      </c>
      <c r="C15" s="37"/>
    </row>
    <row r="16" spans="1:25" x14ac:dyDescent="0.2">
      <c r="A16" s="38" t="s">
        <v>20</v>
      </c>
      <c r="B16" s="40">
        <f>B15/A3</f>
        <v>6.25E-2</v>
      </c>
      <c r="C16" s="37"/>
      <c r="E16" s="41"/>
    </row>
    <row r="17" spans="1:4" x14ac:dyDescent="0.2">
      <c r="A17" s="38" t="s">
        <v>6</v>
      </c>
      <c r="B17" s="42">
        <v>13</v>
      </c>
      <c r="C17" s="37"/>
    </row>
    <row r="18" spans="1:4" x14ac:dyDescent="0.2">
      <c r="A18" s="38" t="s">
        <v>7</v>
      </c>
      <c r="B18" s="42">
        <v>1.5</v>
      </c>
    </row>
    <row r="19" spans="1:4" x14ac:dyDescent="0.2">
      <c r="D19" s="41"/>
    </row>
    <row r="21" spans="1:4" x14ac:dyDescent="0.2">
      <c r="A21" s="43" t="s">
        <v>12</v>
      </c>
      <c r="B21" s="44">
        <v>0.03</v>
      </c>
    </row>
    <row r="22" spans="1:4" x14ac:dyDescent="0.2">
      <c r="A22" s="43"/>
      <c r="B22" s="44"/>
    </row>
    <row r="23" spans="1:4" x14ac:dyDescent="0.2">
      <c r="A23" s="43"/>
      <c r="B23" s="44"/>
    </row>
    <row r="24" spans="1:4" x14ac:dyDescent="0.2">
      <c r="A24" s="45" t="s">
        <v>13</v>
      </c>
      <c r="B24" s="45" t="s">
        <v>14</v>
      </c>
    </row>
    <row r="25" spans="1:4" x14ac:dyDescent="0.2">
      <c r="A25" s="46">
        <f>B15</f>
        <v>50000</v>
      </c>
      <c r="B25" s="46">
        <f>A3-A25</f>
        <v>750000</v>
      </c>
    </row>
    <row r="29" spans="1:4" x14ac:dyDescent="0.2">
      <c r="C29" s="47"/>
    </row>
    <row r="31" spans="1:4" x14ac:dyDescent="0.2">
      <c r="B31" s="48"/>
      <c r="C31" s="37"/>
    </row>
    <row r="32" spans="1:4" x14ac:dyDescent="0.2">
      <c r="A32" s="49"/>
      <c r="B32" s="50"/>
      <c r="C32" s="37"/>
    </row>
    <row r="33" spans="1:3" x14ac:dyDescent="0.2">
      <c r="A33" s="49"/>
      <c r="B33" s="50"/>
      <c r="C33" s="37"/>
    </row>
    <row r="34" spans="1:3" x14ac:dyDescent="0.2">
      <c r="A34" s="49"/>
      <c r="B34" s="37"/>
    </row>
  </sheetData>
  <mergeCells count="16">
    <mergeCell ref="B3:C3"/>
    <mergeCell ref="V3:Y3"/>
    <mergeCell ref="V2:Y2"/>
    <mergeCell ref="F12:I12"/>
    <mergeCell ref="J12:M12"/>
    <mergeCell ref="N12:Q12"/>
    <mergeCell ref="R12:U12"/>
    <mergeCell ref="V12:Y12"/>
    <mergeCell ref="F3:I3"/>
    <mergeCell ref="F2:I2"/>
    <mergeCell ref="J2:M2"/>
    <mergeCell ref="N2:Q2"/>
    <mergeCell ref="R2:U2"/>
    <mergeCell ref="J3:M3"/>
    <mergeCell ref="N3:Q3"/>
    <mergeCell ref="R3:U3"/>
  </mergeCells>
  <pageMargins left="0.25" right="0.25" top="0.75" bottom="0.75" header="0.3" footer="0.3"/>
  <pageSetup scale="4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Estimated Revenue</vt:lpstr>
      <vt:lpstr>Sheet1</vt:lpstr>
    </vt:vector>
  </TitlesOfParts>
  <Company>The Capital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JFL</dc:creator>
  <cp:lastModifiedBy>Race</cp:lastModifiedBy>
  <cp:lastPrinted>2014-03-17T00:37:53Z</cp:lastPrinted>
  <dcterms:created xsi:type="dcterms:W3CDTF">2013-09-16T13:28:56Z</dcterms:created>
  <dcterms:modified xsi:type="dcterms:W3CDTF">2017-10-04T01:58:14Z</dcterms:modified>
</cp:coreProperties>
</file>